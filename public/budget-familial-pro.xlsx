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Notice" sheetId="2" state="visible" r:id="rId4"/>
    <sheet name="Revenus" sheetId="3" state="visible" r:id="rId5"/>
    <sheet name="Dépenses" sheetId="4" state="visible" r:id="rId6"/>
    <sheet name="Bilan" sheetId="5" state="visible" r:id="rId7"/>
    <sheet name="Suivi annuel" sheetId="6" state="visible" r:id="rId8"/>
  </sheets>
  <definedNames>
    <definedName function="false" hidden="false" name="Total_Depenses" vbProcedure="false">Dépenses!$D$36</definedName>
    <definedName function="false" hidden="false" name="Total_Revenus" vbProcedure="false">Revenus!$D$17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<sst xmlns="http://schemas.openxmlformats.org/spreadsheetml/2006/main" count="153" uniqueCount="132">
  <si>
    <t xml:space="preserve">ÉPARGNER MAROC</t>
  </si>
  <si>
    <t xml:space="preserve">Outil éditorial · Version 1.0 · Septembre 2026</t>
  </si>
  <si>
    <t xml:space="preserve">Budget familial</t>
  </si>
  <si>
    <t xml:space="preserve">Modèle de suivi des revenus, dépenses et épargne</t>
  </si>
  <si>
    <t xml:space="preserve">Sommaire</t>
  </si>
  <si>
    <t xml:space="preserve">01</t>
  </si>
  <si>
    <t xml:space="preserve">Notice d'utilisation</t>
  </si>
  <si>
    <t xml:space="preserve">Prise en main, code couleur, principes</t>
  </si>
  <si>
    <t xml:space="preserve">02</t>
  </si>
  <si>
    <t xml:space="preserve">Revenus</t>
  </si>
  <si>
    <t xml:space="preserve">Détail mensuel des rentrées d'argent</t>
  </si>
  <si>
    <t xml:space="preserve">03</t>
  </si>
  <si>
    <t xml:space="preserve">Dépenses</t>
  </si>
  <si>
    <t xml:space="preserve">Décomposition par poste et catégorie</t>
  </si>
  <si>
    <t xml:space="preserve">04</t>
  </si>
  <si>
    <t xml:space="preserve">Bilan mensuel</t>
  </si>
  <si>
    <t xml:space="preserve">Solde, taux d'épargne, indicateurs</t>
  </si>
  <si>
    <t xml:space="preserve">05</t>
  </si>
  <si>
    <t xml:space="preserve">Suivi annuel</t>
  </si>
  <si>
    <t xml:space="preserve">Vue sur douze mois glissants</t>
  </si>
  <si>
    <t xml:space="preserve">Édition : Épargner Maroc — publication indépendante</t>
  </si>
  <si>
    <t xml:space="preserve">Contact éditorial : hello@epargner-maroc.com</t>
  </si>
  <si>
    <t xml:space="preserve">Web : epargner-maroc.com</t>
  </si>
  <si>
    <t xml:space="preserve">En un mot</t>
  </si>
  <si>
    <t xml:space="preserve">Ce fichier vous aide à suivre chaque mois combien vous gagnez, combien vous dépensez, et ce qu'il vous reste. Il ne fait qu'une chose, et il la fait bien : additionner.</t>
  </si>
  <si>
    <t xml:space="preserve">Marche à suivre</t>
  </si>
  <si>
    <t xml:space="preserve">·</t>
  </si>
  <si>
    <t xml:space="preserve">En début de mois</t>
  </si>
  <si>
    <t xml:space="preserve">Ouvrez l'onglet Revenus. Notez ce que vous prévoyez de recevoir.</t>
  </si>
  <si>
    <t xml:space="preserve">Au fil du mois</t>
  </si>
  <si>
    <t xml:space="preserve">Reportez vos dépenses dans l'onglet Dépenses, poste par poste.</t>
  </si>
  <si>
    <t xml:space="preserve">À la fin du mois</t>
  </si>
  <si>
    <t xml:space="preserve">L'onglet Bilan calcule automatiquement votre solde et votre taux d'épargne.</t>
  </si>
  <si>
    <t xml:space="preserve">Chaque année</t>
  </si>
  <si>
    <t xml:space="preserve">L'onglet Suivi annuel reporte les totaux mois par mois.</t>
  </si>
  <si>
    <t xml:space="preserve">Code couleur</t>
  </si>
  <si>
    <t xml:space="preserve">à remplir par vous</t>
  </si>
  <si>
    <t xml:space="preserve">calcul automatique — ne pas modifier</t>
  </si>
  <si>
    <t xml:space="preserve">en-tête de section</t>
  </si>
  <si>
    <t xml:space="preserve">Nos convictions éditoriales</t>
  </si>
  <si>
    <t xml:space="preserve">—</t>
  </si>
  <si>
    <t xml:space="preserve">Un budget sert à décider, pas à juger.</t>
  </si>
  <si>
    <t xml:space="preserve">Un taux d'épargne de 10 % constitue un bon point de départ.</t>
  </si>
  <si>
    <t xml:space="preserve">Le fonds de précaution vise trois mois de dépenses courantes, avant tout placement.</t>
  </si>
  <si>
    <t xml:space="preserve">Les postes qui pèsent vraiment se voient en trois mois, pas en une semaine.</t>
  </si>
  <si>
    <t xml:space="preserve">Vos rentrées d'argent mensuelles</t>
  </si>
  <si>
    <t xml:space="preserve">Poste</t>
  </si>
  <si>
    <t xml:space="preserve">Montant</t>
  </si>
  <si>
    <t xml:space="preserve">Note</t>
  </si>
  <si>
    <t xml:space="preserve">Salaire net</t>
  </si>
  <si>
    <t xml:space="preserve">Salaire net conjoint(e)</t>
  </si>
  <si>
    <t xml:space="preserve">Prime, treizième mois, bonus</t>
  </si>
  <si>
    <t xml:space="preserve">Répartir sur 12 mois</t>
  </si>
  <si>
    <t xml:space="preserve">Freelance, activité indépendante</t>
  </si>
  <si>
    <t xml:space="preserve">Revenus locatifs perçus</t>
  </si>
  <si>
    <t xml:space="preserve">Aides, allocations, autres</t>
  </si>
  <si>
    <t xml:space="preserve">Total revenus mensuels</t>
  </si>
  <si>
    <t xml:space="preserve">Décomposition mensuelle par poste</t>
  </si>
  <si>
    <t xml:space="preserve">Poste de dépense</t>
  </si>
  <si>
    <t xml:space="preserve">Logement</t>
  </si>
  <si>
    <t xml:space="preserve">Loyer ou remboursement crédit immobilier</t>
  </si>
  <si>
    <t xml:space="preserve">Charges et syndic</t>
  </si>
  <si>
    <t xml:space="preserve">Eau et électricité</t>
  </si>
  <si>
    <t xml:space="preserve">Internet et téléphone mobile</t>
  </si>
  <si>
    <t xml:space="preserve">Vie courante</t>
  </si>
  <si>
    <t xml:space="preserve">Courses alimentaires</t>
  </si>
  <si>
    <t xml:space="preserve">Transport, essence, taxi</t>
  </si>
  <si>
    <t xml:space="preserve">Assurance auto et habitation</t>
  </si>
  <si>
    <t xml:space="preserve">Restaurants et cafés</t>
  </si>
  <si>
    <t xml:space="preserve">Santé et famille</t>
  </si>
  <si>
    <t xml:space="preserve">Frais médicaux (mutuelle exclue)</t>
  </si>
  <si>
    <t xml:space="preserve">Scolarité et fournitures enfants</t>
  </si>
  <si>
    <t xml:space="preserve">Vêtements et hygiène</t>
  </si>
  <si>
    <t xml:space="preserve">Loisirs et abonnements</t>
  </si>
  <si>
    <t xml:space="preserve">Sorties et loisirs</t>
  </si>
  <si>
    <t xml:space="preserve">Abonnements (streaming, presse)</t>
  </si>
  <si>
    <t xml:space="preserve">Cadeaux et invitations</t>
  </si>
  <si>
    <t xml:space="preserve">Charges financières</t>
  </si>
  <si>
    <t xml:space="preserve">Remboursement crédit à la consommation</t>
  </si>
  <si>
    <t xml:space="preserve">Frais bancaires</t>
  </si>
  <si>
    <t xml:space="preserve">Assurance vie ou prévoyance</t>
  </si>
  <si>
    <t xml:space="preserve">Divers</t>
  </si>
  <si>
    <t xml:space="preserve">Impôts non prélevés à la source</t>
  </si>
  <si>
    <t xml:space="preserve">Dépenses imprévues</t>
  </si>
  <si>
    <t xml:space="preserve">Total dépenses mensuelles</t>
  </si>
  <si>
    <t xml:space="preserve">Synthèse automatique</t>
  </si>
  <si>
    <t xml:space="preserve">REVENUS DU MOIS</t>
  </si>
  <si>
    <t xml:space="preserve">DÉPENSES DU MOIS</t>
  </si>
  <si>
    <t xml:space="preserve">SOLDE DU MOIS</t>
  </si>
  <si>
    <t xml:space="preserve">Indicateurs clés</t>
  </si>
  <si>
    <t xml:space="preserve">Taux d'épargne</t>
  </si>
  <si>
    <t xml:space="preserve">Solde du mois divisé par les revenus</t>
  </si>
  <si>
    <t xml:space="preserve">Fonds de précaution — objectif 3 mois</t>
  </si>
  <si>
    <t xml:space="preserve">Épargne de sécurité recommandée</t>
  </si>
  <si>
    <t xml:space="preserve">Fonds de sécurité — objectif 6 mois</t>
  </si>
  <si>
    <t xml:space="preserve">Palier confortable, avant investissement</t>
  </si>
  <si>
    <t xml:space="preserve">Suivi de l'épargne</t>
  </si>
  <si>
    <t xml:space="preserve">Épargne actuelle (à renseigner)</t>
  </si>
  <si>
    <t xml:space="preserve">Progression vers l'objectif 3 mois</t>
  </si>
  <si>
    <t xml:space="preserve">Mois pour atteindre 3 mois de dépenses</t>
  </si>
  <si>
    <t xml:space="preserve">Rythme d'épargne mensuel</t>
  </si>
  <si>
    <t xml:space="preserve">→ Solde mensuel</t>
  </si>
  <si>
    <t xml:space="preserve">Grille de lecture du taux d'épargne</t>
  </si>
  <si>
    <t xml:space="preserve">&lt; 5 %</t>
  </si>
  <si>
    <t xml:space="preserve">Zone de vigilance</t>
  </si>
  <si>
    <t xml:space="preserve">Repérez les trois postes les plus lourds et négociez-les</t>
  </si>
  <si>
    <t xml:space="preserve">5 à 10 %</t>
  </si>
  <si>
    <t xml:space="preserve">Prudent</t>
  </si>
  <si>
    <t xml:space="preserve">Vous tenez, votre marge est mince</t>
  </si>
  <si>
    <t xml:space="preserve">10 à 20 %</t>
  </si>
  <si>
    <t xml:space="preserve">Solide</t>
  </si>
  <si>
    <t xml:space="preserve">Vous construisez sérieusement</t>
  </si>
  <si>
    <t xml:space="preserve">&gt; 20 %</t>
  </si>
  <si>
    <t xml:space="preserve">Excellent</t>
  </si>
  <si>
    <t xml:space="preserve">En avance sur la plupart, place à l'investissement</t>
  </si>
  <si>
    <t xml:space="preserve">Reportez chaque fin de mois les totaux issus des onglets Revenus et Dépenses</t>
  </si>
  <si>
    <t xml:space="preserve">Indicateur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</si>
  <si>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</si>
  <si>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</si>
  <si>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</si>
  <si>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</si>
  <si>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</si>
  <si>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</si>
  <si>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</si>
  <si>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</si>
  <si>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</si>
  <si>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</si>
  <si>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</si>
  <si>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</si>
  <si>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Total</t>
  </si>
  <si>
    <t xml:space="preserve">Solde</t>
  </si>
  <si>
    <t xml:space="preserve">Après trois mois de suivi, vous verrez apparaître votre schéma de dépenses. Après six mois, vous saurez précisément où votre argent va.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</si>
</sst>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DH&quot;;[RED]\-#,##0&quot; DH&quot;;\—"/>
    <numFmt numFmtId="166" formatCode="0.0%;\-0.0%;0.0%"/>
    <numFmt numFmtId="167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F2D24"/>
      <name val="Arial"/>
      <family val="0"/>
      <charset val="1"/>
    </font>
    <font>
      <i val="true"/>
      <sz val="9"/>
      <color rgb="FF5C6470"/>
      <name val="Arial"/>
      <family val="0"/>
      <charset val="1"/>
    </font>
    <font>
      <sz val="28"/>
      <color rgb="FF0F2D24"/>
      <name val="Georgia"/>
      <family val="0"/>
      <charset val="1"/>
    </font>
    <font>
      <i val="true"/>
      <sz val="14"/>
      <color rgb="FF5C6470"/>
      <name val="Georgia"/>
      <family val="0"/>
      <charset val="1"/>
    </font>
    <font>
      <sz val="18"/>
      <color rgb="FF0F2D24"/>
      <name val="Georgia"/>
      <family val="0"/>
      <charset val="1"/>
    </font>
    <font>
      <sz val="16"/>
      <color rgb="FF8B7355"/>
      <name val="Georgia"/>
      <family val="0"/>
      <charset val="1"/>
    </font>
    <font>
      <sz val="13"/>
      <color rgb="FF0F2D24"/>
      <name val="Georgia"/>
      <family val="0"/>
      <charset val="1"/>
    </font>
    <font>
      <sz val="11"/>
      <color rgb="FF8B7355"/>
      <name val="Georgia"/>
      <family val="0"/>
      <charset val="1"/>
    </font>
    <font>
      <b val="true"/>
      <sz val="10"/>
      <color rgb="FF0F2D24"/>
      <name val="Arial"/>
      <family val="0"/>
      <charset val="1"/>
    </font>
    <font>
      <sz val="11"/>
      <color rgb="FF111111"/>
      <name val="Arial"/>
      <family val="0"/>
      <charset val="1"/>
    </font>
    <font>
      <b val="true"/>
      <sz val="14"/>
      <color rgb="FF8B7355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color rgb="FF5C6470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8B7355"/>
      <name val="Arial"/>
      <family val="0"/>
      <charset val="1"/>
    </font>
    <font>
      <i val="true"/>
      <sz val="10"/>
      <color rgb="FF111111"/>
      <name val="Arial"/>
      <family val="0"/>
      <charset val="1"/>
    </font>
    <font>
      <i val="true"/>
      <sz val="10"/>
      <color rgb="FF5C6470"/>
      <name val="Arial"/>
      <family val="0"/>
      <charset val="1"/>
    </font>
    <font>
      <sz val="10"/>
      <color rgb="FF1D4E89"/>
      <name val="Arial"/>
      <family val="0"/>
      <charset val="1"/>
    </font>
    <font>
      <b val="true"/>
      <sz val="11"/>
      <color rgb="FF0F2D24"/>
      <name val="Arial"/>
      <family val="0"/>
      <charset val="1"/>
    </font>
    <font>
      <b val="true"/>
      <sz val="12"/>
      <color rgb="FF0F2D24"/>
      <name val="Arial"/>
      <family val="0"/>
      <charset val="1"/>
    </font>
    <font>
      <b val="true"/>
      <sz val="9"/>
      <color rgb="FF5C6470"/>
      <name val="Arial"/>
      <family val="0"/>
      <charset val="1"/>
    </font>
    <font>
      <sz val="24"/>
      <color rgb="FF0F2D24"/>
      <name val="Georgia"/>
      <family val="0"/>
      <charset val="1"/>
    </font>
    <font>
      <sz val="24"/>
      <color rgb="FF1C4B3D"/>
      <name val="Georgia"/>
      <family val="0"/>
      <charset val="1"/>
    </font>
    <font>
      <b val="true"/>
      <sz val="10"/>
      <color rgb="FF1C4B3D"/>
      <name val="Arial"/>
      <family val="0"/>
      <charset val="1"/>
    </font>
    <font>
      <sz val="9"/>
      <color rgb="FF5C647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2D24"/>
        <bgColor rgb="FF111111"/>
      </patternFill>
    </fill>
    <fill>
      <patternFill patternType="solid">
        <fgColor rgb="FFFFF8DC"/>
        <bgColor rgb="FFFAF7F1"/>
      </patternFill>
    </fill>
    <fill>
      <patternFill patternType="solid">
        <fgColor rgb="FFF4EFE4"/>
        <bgColor rgb="FFFAF7F1"/>
      </patternFill>
    </fill>
    <fill>
      <patternFill patternType="solid">
        <fgColor rgb="FFFAF7F1"/>
        <bgColor rgb="FFFFF8D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B7355"/>
      </bottom>
      <diagonal/>
    </border>
    <border diagonalUp="false" diagonalDown="false">
      <left/>
      <right/>
      <top/>
      <bottom style="hair">
        <color rgb="FFE5E1D6"/>
      </bottom>
      <diagonal/>
    </border>
    <border diagonalUp="false" diagonalDown="false">
      <left/>
      <right/>
      <top/>
      <bottom style="thin">
        <color rgb="FF1C4B3D"/>
      </bottom>
      <diagonal/>
    </border>
    <border diagonalUp="false" diagonalDown="false">
      <left style="thin">
        <color rgb="FF1C4B3D"/>
      </left>
      <right style="thin">
        <color rgb="FF1C4B3D"/>
      </right>
      <top style="thin">
        <color rgb="FF1C4B3D"/>
      </top>
      <bottom style="thin">
        <color rgb="FF1C4B3D"/>
      </bottom>
      <diagonal/>
    </border>
    <border diagonalUp="false" diagonalDown="false">
      <left/>
      <right/>
      <top/>
      <bottom style="thin">
        <color rgb="FF111111"/>
      </bottom>
      <diagonal/>
    </border>
    <border diagonalUp="false" diagonalDown="false">
      <left/>
      <right/>
      <top style="medium">
        <color rgb="FF1C4B3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1" fillId="3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4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4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2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2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2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7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2" fillId="4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8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7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7355"/>
      <rgbColor rgb="FF9999FF"/>
      <rgbColor rgb="FF993366"/>
      <rgbColor rgb="FFFFF8DC"/>
      <rgbColor rgb="FFCCFFFF"/>
      <rgbColor rgb="FF660066"/>
      <rgbColor rgb="FFFF8080"/>
      <rgbColor rgb="FF0066CC"/>
      <rgbColor rgb="FFE5E1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F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470"/>
      <rgbColor rgb="FF969696"/>
      <rgbColor rgb="FF003366"/>
      <rgbColor rgb="FF339966"/>
      <rgbColor rgb="FF0F2D24"/>
      <rgbColor rgb="FF111111"/>
      <rgbColor rgb="FF993300"/>
      <rgbColor rgb="FF993366"/>
      <rgbColor rgb="FF1D4E89"/>
      <rgbColor rgb="FF1C4B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2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B3" s="3" t="s">
        <v>0</v>
      </c>
    </row>
    <row r="4" customFormat="false" ht="15" hidden="false" customHeight="true" outlineLevel="0" collapsed="false">
      <c r="B4" s="4" t="s">
        <v>1</v>
      </c>
    </row>
    <row r="8" customFormat="false" ht="39.75" hidden="false" customHeight="true" outlineLevel="0" collapsed="false">
      <c r="B8" s="5" t="s">
        <v>2</v>
      </c>
      <c r="C8" s="5"/>
      <c r="D8" s="5"/>
      <c r="E8" s="5"/>
      <c r="F8" s="5"/>
      <c r="G8" s="5"/>
    </row>
    <row r="9" customFormat="false" ht="19.5" hidden="false" customHeight="true" outlineLevel="0" collapsed="false">
      <c r="B9" s="5"/>
      <c r="C9" s="5"/>
      <c r="D9" s="5"/>
      <c r="E9" s="5"/>
      <c r="F9" s="5"/>
      <c r="G9" s="5"/>
    </row>
    <row r="11" customFormat="false" ht="17.25" hidden="false" customHeight="true" outlineLevel="0" collapsed="false">
      <c r="B11" s="6" t="s">
        <v>3</v>
      </c>
      <c r="C11" s="6"/>
      <c r="D11" s="6"/>
      <c r="E11" s="6"/>
      <c r="F11" s="6"/>
      <c r="G11" s="6"/>
    </row>
    <row r="13" customFormat="false" ht="15" hidden="false" customHeight="true" outlineLevel="0" collapsed="false">
      <c r="B13" s="7"/>
      <c r="C13" s="7"/>
      <c r="D13" s="7"/>
      <c r="E13" s="7"/>
      <c r="F13" s="7"/>
      <c r="G13" s="7"/>
    </row>
    <row r="15" customFormat="false" ht="30" hidden="false" customHeight="true" outlineLevel="0" collapsed="false">
      <c r="B15" s="8" t="s">
        <v>4</v>
      </c>
    </row>
    <row r="17" customFormat="false" ht="21.75" hidden="false" customHeight="true" outlineLevel="0" collapsed="false">
      <c r="B17" s="9" t="s">
        <v>5</v>
      </c>
      <c r="C17" s="10" t="s">
        <v>6</v>
      </c>
      <c r="D17" s="10"/>
      <c r="E17" s="10"/>
      <c r="F17" s="10"/>
      <c r="G17" s="10"/>
    </row>
    <row r="18" customFormat="false" ht="15.75" hidden="false" customHeight="true" outlineLevel="0" collapsed="false">
      <c r="C18" s="11" t="s">
        <v>7</v>
      </c>
      <c r="D18" s="11"/>
      <c r="E18" s="11"/>
      <c r="F18" s="11"/>
      <c r="G18" s="11"/>
    </row>
    <row r="19" customFormat="false" ht="21.75" hidden="false" customHeight="true" outlineLevel="0" collapsed="false">
      <c r="B19" s="9" t="s">
        <v>8</v>
      </c>
      <c r="C19" s="10" t="s">
        <v>9</v>
      </c>
      <c r="D19" s="10"/>
      <c r="E19" s="10"/>
      <c r="F19" s="10"/>
      <c r="G19" s="10"/>
    </row>
    <row r="20" customFormat="false" ht="15.75" hidden="false" customHeight="true" outlineLevel="0" collapsed="false">
      <c r="C20" s="11" t="s">
        <v>10</v>
      </c>
      <c r="D20" s="11"/>
      <c r="E20" s="11"/>
      <c r="F20" s="11"/>
      <c r="G20" s="11"/>
    </row>
    <row r="21" customFormat="false" ht="21.75" hidden="false" customHeight="true" outlineLevel="0" collapsed="false">
      <c r="B21" s="9" t="s">
        <v>11</v>
      </c>
      <c r="C21" s="10" t="s">
        <v>12</v>
      </c>
      <c r="D21" s="10"/>
      <c r="E21" s="10"/>
      <c r="F21" s="10"/>
      <c r="G21" s="10"/>
    </row>
    <row r="22" customFormat="false" ht="15.75" hidden="false" customHeight="true" outlineLevel="0" collapsed="false">
      <c r="C22" s="11" t="s">
        <v>13</v>
      </c>
      <c r="D22" s="11"/>
      <c r="E22" s="11"/>
      <c r="F22" s="11"/>
      <c r="G22" s="11"/>
    </row>
    <row r="23" customFormat="false" ht="21.75" hidden="false" customHeight="true" outlineLevel="0" collapsed="false">
      <c r="B23" s="9" t="s">
        <v>14</v>
      </c>
      <c r="C23" s="10" t="s">
        <v>15</v>
      </c>
      <c r="D23" s="10"/>
      <c r="E23" s="10"/>
      <c r="F23" s="10"/>
      <c r="G23" s="10"/>
    </row>
    <row r="24" customFormat="false" ht="15.75" hidden="false" customHeight="true" outlineLevel="0" collapsed="false">
      <c r="C24" s="11" t="s">
        <v>16</v>
      </c>
      <c r="D24" s="11"/>
      <c r="E24" s="11"/>
      <c r="F24" s="11"/>
      <c r="G24" s="11"/>
    </row>
    <row r="25" customFormat="false" ht="21.75" hidden="false" customHeight="true" outlineLevel="0" collapsed="false">
      <c r="B25" s="9" t="s">
        <v>17</v>
      </c>
      <c r="C25" s="10" t="s">
        <v>18</v>
      </c>
      <c r="D25" s="10"/>
      <c r="E25" s="10"/>
      <c r="F25" s="10"/>
      <c r="G25" s="10"/>
    </row>
    <row r="26" customFormat="false" ht="15.75" hidden="false" customHeight="true" outlineLevel="0" collapsed="false">
      <c r="C26" s="11" t="s">
        <v>19</v>
      </c>
      <c r="D26" s="11"/>
      <c r="E26" s="11"/>
      <c r="F26" s="11"/>
      <c r="G26" s="11"/>
    </row>
    <row r="29" customFormat="false" ht="15" hidden="false" customHeight="true" outlineLevel="0" collapsed="false">
      <c r="B29" s="12"/>
      <c r="C29" s="12"/>
      <c r="D29" s="12"/>
      <c r="E29" s="12"/>
      <c r="F29" s="12"/>
      <c r="G29" s="12"/>
    </row>
    <row r="32" customFormat="false" ht="15" hidden="false" customHeight="true" outlineLevel="0" collapsed="false">
      <c r="B32" s="13" t="s">
        <v>20</v>
      </c>
    </row>
    <row r="33" customFormat="false" ht="15" hidden="false" customHeight="true" outlineLevel="0" collapsed="false">
      <c r="B33" s="13" t="s">
        <v>21</v>
      </c>
    </row>
    <row r="34" customFormat="false" ht="15" hidden="false" customHeight="true" outlineLevel="0" collapsed="false">
      <c r="B34" s="13" t="s">
        <v>22</v>
      </c>
    </row>
    <row r="37" customFormat="false" ht="7.5" hidden="false" customHeight="true" outlineLevel="0" collapsed="false">
      <c r="A37" s="2"/>
      <c r="B37" s="2"/>
      <c r="C37" s="2"/>
      <c r="D37" s="2"/>
      <c r="E37" s="2"/>
      <c r="F37" s="2"/>
      <c r="G37" s="2"/>
      <c r="H37" s="2"/>
    </row>
  </sheetData>
  <mergeCells count="12">
    <mergeCell ref="B8:G9"/>
    <mergeCell ref="B11:G11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"/>
    <col collapsed="false" customWidth="true" hidden="false" outlineLevel="0" max="7" min="3" style="1" width="12"/>
  </cols>
  <sheetData>
    <row r="1" customFormat="false" ht="3.75" hidden="false" customHeight="true" outlineLevel="0" collapsed="false">
      <c r="A1" s="2"/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C3" s="14" t="s">
        <v>5</v>
      </c>
    </row>
    <row r="4" customFormat="false" ht="31.5" hidden="false" customHeight="true" outlineLevel="0" collapsed="false">
      <c r="C4" s="8" t="s">
        <v>6</v>
      </c>
    </row>
    <row r="6" customFormat="false" ht="3.75" hidden="false" customHeight="true" outlineLevel="0" collapsed="false">
      <c r="C6" s="15"/>
      <c r="D6" s="15"/>
      <c r="E6" s="15"/>
      <c r="F6" s="15"/>
      <c r="G6" s="15"/>
    </row>
    <row r="8" customFormat="false" ht="21.75" hidden="false" customHeight="true" outlineLevel="0" collapsed="false">
      <c r="C8" s="16" t="s">
        <v>23</v>
      </c>
    </row>
    <row r="9" customFormat="false" ht="15" hidden="false" customHeight="true" outlineLevel="0" collapsed="false">
      <c r="C9" s="17" t="s">
        <v>24</v>
      </c>
      <c r="D9" s="17"/>
      <c r="E9" s="17"/>
      <c r="F9" s="17"/>
      <c r="G9" s="17"/>
    </row>
    <row r="10" customFormat="false" ht="15" hidden="false" customHeight="true" outlineLevel="0" collapsed="false">
      <c r="C10" s="17"/>
      <c r="D10" s="17"/>
      <c r="E10" s="17"/>
      <c r="F10" s="17"/>
      <c r="G10" s="17"/>
    </row>
    <row r="11" customFormat="false" ht="15" hidden="false" customHeight="true" outlineLevel="0" collapsed="false">
      <c r="C11" s="17"/>
      <c r="D11" s="17"/>
      <c r="E11" s="17"/>
      <c r="F11" s="17"/>
      <c r="G11" s="17"/>
    </row>
    <row r="14" customFormat="false" ht="21.75" hidden="false" customHeight="true" outlineLevel="0" collapsed="false">
      <c r="C14" s="16" t="s">
        <v>25</v>
      </c>
    </row>
    <row r="15" customFormat="false" ht="21.75" hidden="false" customHeight="true" outlineLevel="0" collapsed="false">
      <c r="C15" s="18" t="s">
        <v>26</v>
      </c>
      <c r="D15" s="19" t="s">
        <v>27</v>
      </c>
      <c r="E15" s="19"/>
      <c r="F15" s="20" t="s">
        <v>28</v>
      </c>
      <c r="G15" s="20"/>
    </row>
    <row r="16" customFormat="false" ht="21.75" hidden="false" customHeight="true" outlineLevel="0" collapsed="false">
      <c r="C16" s="18" t="s">
        <v>26</v>
      </c>
      <c r="D16" s="19" t="s">
        <v>29</v>
      </c>
      <c r="E16" s="19"/>
      <c r="F16" s="20" t="s">
        <v>30</v>
      </c>
      <c r="G16" s="20"/>
    </row>
    <row r="17" customFormat="false" ht="21.75" hidden="false" customHeight="true" outlineLevel="0" collapsed="false">
      <c r="C17" s="18" t="s">
        <v>26</v>
      </c>
      <c r="D17" s="19" t="s">
        <v>31</v>
      </c>
      <c r="E17" s="19"/>
      <c r="F17" s="20" t="s">
        <v>32</v>
      </c>
      <c r="G17" s="20"/>
    </row>
    <row r="18" customFormat="false" ht="21.75" hidden="false" customHeight="true" outlineLevel="0" collapsed="false">
      <c r="C18" s="18" t="s">
        <v>26</v>
      </c>
      <c r="D18" s="19" t="s">
        <v>33</v>
      </c>
      <c r="E18" s="19"/>
      <c r="F18" s="20" t="s">
        <v>34</v>
      </c>
      <c r="G18" s="20"/>
    </row>
    <row r="21" customFormat="false" ht="21.75" hidden="false" customHeight="true" outlineLevel="0" collapsed="false">
      <c r="C21" s="16" t="s">
        <v>35</v>
      </c>
    </row>
    <row r="22" customFormat="false" ht="21.75" hidden="false" customHeight="true" outlineLevel="0" collapsed="false">
      <c r="C22" s="21"/>
      <c r="D22" s="22" t="s">
        <v>36</v>
      </c>
      <c r="E22" s="22"/>
      <c r="F22" s="22"/>
      <c r="G22" s="22"/>
    </row>
    <row r="23" customFormat="false" ht="21.75" hidden="false" customHeight="true" outlineLevel="0" collapsed="false">
      <c r="C23" s="23"/>
      <c r="D23" s="22" t="s">
        <v>37</v>
      </c>
      <c r="E23" s="22"/>
      <c r="F23" s="22"/>
      <c r="G23" s="22"/>
    </row>
    <row r="24" customFormat="false" ht="21.75" hidden="false" customHeight="true" outlineLevel="0" collapsed="false">
      <c r="C24" s="24"/>
      <c r="D24" s="22" t="s">
        <v>38</v>
      </c>
      <c r="E24" s="22"/>
      <c r="F24" s="22"/>
      <c r="G24" s="22"/>
    </row>
    <row r="28" customFormat="false" ht="21.75" hidden="false" customHeight="true" outlineLevel="0" collapsed="false">
      <c r="C28" s="16" t="s">
        <v>39</v>
      </c>
    </row>
    <row r="29" customFormat="false" ht="21.75" hidden="false" customHeight="true" outlineLevel="0" collapsed="false">
      <c r="C29" s="25" t="s">
        <v>40</v>
      </c>
      <c r="D29" s="26" t="s">
        <v>41</v>
      </c>
      <c r="E29" s="26"/>
      <c r="F29" s="26"/>
      <c r="G29" s="26"/>
    </row>
    <row r="30" customFormat="false" ht="21.75" hidden="false" customHeight="true" outlineLevel="0" collapsed="false">
      <c r="C30" s="25" t="s">
        <v>40</v>
      </c>
      <c r="D30" s="26" t="s">
        <v>42</v>
      </c>
      <c r="E30" s="26"/>
      <c r="F30" s="26"/>
      <c r="G30" s="26"/>
    </row>
    <row r="31" customFormat="false" ht="21.75" hidden="false" customHeight="true" outlineLevel="0" collapsed="false">
      <c r="C31" s="25" t="s">
        <v>40</v>
      </c>
      <c r="D31" s="26" t="s">
        <v>43</v>
      </c>
      <c r="E31" s="26"/>
      <c r="F31" s="26"/>
      <c r="G31" s="26"/>
    </row>
    <row r="32" customFormat="false" ht="21.75" hidden="false" customHeight="true" outlineLevel="0" collapsed="false">
      <c r="C32" s="25" t="s">
        <v>40</v>
      </c>
      <c r="D32" s="26" t="s">
        <v>44</v>
      </c>
      <c r="E32" s="26"/>
      <c r="F32" s="26"/>
      <c r="G32" s="26"/>
    </row>
  </sheetData>
  <mergeCells count="16">
    <mergeCell ref="C9:G11"/>
    <mergeCell ref="D15:E15"/>
    <mergeCell ref="F15:G15"/>
    <mergeCell ref="D16:E16"/>
    <mergeCell ref="F16:G16"/>
    <mergeCell ref="D17:E17"/>
    <mergeCell ref="F17:G17"/>
    <mergeCell ref="D18:E18"/>
    <mergeCell ref="F18:G18"/>
    <mergeCell ref="D22:G22"/>
    <mergeCell ref="D23:G23"/>
    <mergeCell ref="D24:G24"/>
    <mergeCell ref="D29:G29"/>
    <mergeCell ref="D30:G30"/>
    <mergeCell ref="D31:G31"/>
    <mergeCell ref="D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7" min="6" style="1" width="12"/>
  </cols>
  <sheetData>
    <row r="1" customFormat="false" ht="3.75" hidden="false" customHeight="true" outlineLevel="0" collapsed="false">
      <c r="A1" s="2"/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C3" s="14" t="s">
        <v>8</v>
      </c>
    </row>
    <row r="4" customFormat="false" ht="31.5" hidden="false" customHeight="true" outlineLevel="0" collapsed="false">
      <c r="C4" s="8" t="s">
        <v>9</v>
      </c>
    </row>
    <row r="6" customFormat="false" ht="3.75" hidden="false" customHeight="true" outlineLevel="0" collapsed="false">
      <c r="C6" s="15"/>
      <c r="D6" s="15"/>
      <c r="E6" s="15"/>
      <c r="F6" s="15"/>
      <c r="G6" s="15"/>
    </row>
    <row r="7" customFormat="false" ht="15" hidden="false" customHeight="true" outlineLevel="0" collapsed="false">
      <c r="C7" s="27" t="s">
        <v>45</v>
      </c>
    </row>
    <row r="9" customFormat="false" ht="24" hidden="false" customHeight="true" outlineLevel="0" collapsed="false">
      <c r="C9" s="28" t="s">
        <v>46</v>
      </c>
      <c r="D9" s="29" t="s">
        <v>47</v>
      </c>
      <c r="E9" s="29" t="s">
        <v>48</v>
      </c>
    </row>
    <row r="10" customFormat="false" ht="24" hidden="false" customHeight="true" outlineLevel="0" collapsed="false">
      <c r="C10" s="30" t="s">
        <v>49</v>
      </c>
      <c r="D10" s="31" t="n">
        <v>15000</v>
      </c>
      <c r="E10" s="32"/>
    </row>
    <row r="11" customFormat="false" ht="24" hidden="false" customHeight="true" outlineLevel="0" collapsed="false">
      <c r="C11" s="33" t="s">
        <v>50</v>
      </c>
      <c r="D11" s="31" t="n">
        <v>0</v>
      </c>
      <c r="E11" s="34"/>
    </row>
    <row r="12" customFormat="false" ht="24" hidden="false" customHeight="true" outlineLevel="0" collapsed="false">
      <c r="C12" s="30" t="s">
        <v>51</v>
      </c>
      <c r="D12" s="31" t="n">
        <v>0</v>
      </c>
      <c r="E12" s="32" t="s">
        <v>52</v>
      </c>
    </row>
    <row r="13" customFormat="false" ht="24" hidden="false" customHeight="true" outlineLevel="0" collapsed="false">
      <c r="C13" s="33" t="s">
        <v>53</v>
      </c>
      <c r="D13" s="31" t="n">
        <v>0</v>
      </c>
      <c r="E13" s="34"/>
    </row>
    <row r="14" customFormat="false" ht="24" hidden="false" customHeight="true" outlineLevel="0" collapsed="false">
      <c r="C14" s="30" t="s">
        <v>54</v>
      </c>
      <c r="D14" s="31" t="n">
        <v>0</v>
      </c>
      <c r="E14" s="32"/>
    </row>
    <row r="15" customFormat="false" ht="24" hidden="false" customHeight="true" outlineLevel="0" collapsed="false">
      <c r="C15" s="33" t="s">
        <v>55</v>
      </c>
      <c r="D15" s="31" t="n">
        <v>0</v>
      </c>
      <c r="E15" s="34"/>
    </row>
    <row r="17" customFormat="false" ht="27.75" hidden="false" customHeight="true" outlineLevel="0" collapsed="false">
      <c r="C17" s="35" t="s">
        <v>56</v>
      </c>
      <c r="D17" s="36" t="n">
        <f aca="false">SUM(D10:D15)</f>
        <v>15000</v>
      </c>
      <c r="E17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7" min="6" style="1" width="12"/>
  </cols>
  <sheetData>
    <row r="1" customFormat="false" ht="3.75" hidden="false" customHeight="true" outlineLevel="0" collapsed="false">
      <c r="A1" s="38"/>
      <c r="B1" s="38"/>
      <c r="C1" s="38"/>
      <c r="D1" s="38"/>
      <c r="E1" s="38"/>
      <c r="F1" s="38"/>
      <c r="G1" s="38"/>
    </row>
    <row r="3" customFormat="false" ht="15" hidden="false" customHeight="true" outlineLevel="0" collapsed="false">
      <c r="C3" s="14" t="s">
        <v>11</v>
      </c>
    </row>
    <row r="4" customFormat="false" ht="31.5" hidden="false" customHeight="true" outlineLevel="0" collapsed="false">
      <c r="C4" s="8" t="s">
        <v>12</v>
      </c>
    </row>
    <row r="6" customFormat="false" ht="3.75" hidden="false" customHeight="true" outlineLevel="0" collapsed="false">
      <c r="C6" s="15"/>
      <c r="D6" s="15"/>
      <c r="E6" s="15"/>
      <c r="F6" s="15"/>
      <c r="G6" s="15"/>
    </row>
    <row r="7" customFormat="false" ht="15" hidden="false" customHeight="true" outlineLevel="0" collapsed="false">
      <c r="C7" s="27" t="s">
        <v>57</v>
      </c>
    </row>
    <row r="9" customFormat="false" ht="24" hidden="false" customHeight="true" outlineLevel="0" collapsed="false">
      <c r="C9" s="39" t="s">
        <v>58</v>
      </c>
      <c r="D9" s="40" t="s">
        <v>47</v>
      </c>
      <c r="E9" s="39" t="s">
        <v>48</v>
      </c>
    </row>
    <row r="10" customFormat="false" ht="21.75" hidden="false" customHeight="true" outlineLevel="0" collapsed="false">
      <c r="C10" s="41" t="s">
        <v>59</v>
      </c>
      <c r="D10" s="42"/>
      <c r="E10" s="42"/>
    </row>
    <row r="11" customFormat="false" ht="21.75" hidden="false" customHeight="true" outlineLevel="0" collapsed="false">
      <c r="C11" s="43" t="s">
        <v>60</v>
      </c>
      <c r="D11" s="31" t="n">
        <v>3500</v>
      </c>
      <c r="E11" s="32"/>
    </row>
    <row r="12" customFormat="false" ht="21.75" hidden="false" customHeight="true" outlineLevel="0" collapsed="false">
      <c r="C12" s="44" t="s">
        <v>61</v>
      </c>
      <c r="D12" s="31" t="n">
        <v>200</v>
      </c>
      <c r="E12" s="34"/>
    </row>
    <row r="13" customFormat="false" ht="21.75" hidden="false" customHeight="true" outlineLevel="0" collapsed="false">
      <c r="C13" s="43" t="s">
        <v>62</v>
      </c>
      <c r="D13" s="31" t="n">
        <v>400</v>
      </c>
      <c r="E13" s="32"/>
    </row>
    <row r="14" customFormat="false" ht="21.75" hidden="false" customHeight="true" outlineLevel="0" collapsed="false">
      <c r="C14" s="44" t="s">
        <v>63</v>
      </c>
      <c r="D14" s="31" t="n">
        <v>350</v>
      </c>
      <c r="E14" s="34"/>
    </row>
    <row r="15" customFormat="false" ht="21.75" hidden="false" customHeight="true" outlineLevel="0" collapsed="false">
      <c r="C15" s="41" t="s">
        <v>64</v>
      </c>
      <c r="D15" s="42"/>
      <c r="E15" s="42"/>
    </row>
    <row r="16" customFormat="false" ht="21.75" hidden="false" customHeight="true" outlineLevel="0" collapsed="false">
      <c r="C16" s="43" t="s">
        <v>65</v>
      </c>
      <c r="D16" s="31" t="n">
        <v>2500</v>
      </c>
      <c r="E16" s="32"/>
    </row>
    <row r="17" customFormat="false" ht="21.75" hidden="false" customHeight="true" outlineLevel="0" collapsed="false">
      <c r="C17" s="44" t="s">
        <v>66</v>
      </c>
      <c r="D17" s="31" t="n">
        <v>900</v>
      </c>
      <c r="E17" s="34"/>
    </row>
    <row r="18" customFormat="false" ht="21.75" hidden="false" customHeight="true" outlineLevel="0" collapsed="false">
      <c r="C18" s="43" t="s">
        <v>67</v>
      </c>
      <c r="D18" s="31" t="n">
        <v>300</v>
      </c>
      <c r="E18" s="32"/>
    </row>
    <row r="19" customFormat="false" ht="21.75" hidden="false" customHeight="true" outlineLevel="0" collapsed="false">
      <c r="C19" s="44" t="s">
        <v>68</v>
      </c>
      <c r="D19" s="31" t="n">
        <v>500</v>
      </c>
      <c r="E19" s="34"/>
    </row>
    <row r="20" customFormat="false" ht="21.75" hidden="false" customHeight="true" outlineLevel="0" collapsed="false">
      <c r="C20" s="41" t="s">
        <v>69</v>
      </c>
      <c r="D20" s="42"/>
      <c r="E20" s="42"/>
    </row>
    <row r="21" customFormat="false" ht="21.75" hidden="false" customHeight="true" outlineLevel="0" collapsed="false">
      <c r="C21" s="43" t="s">
        <v>70</v>
      </c>
      <c r="D21" s="31" t="n">
        <v>200</v>
      </c>
      <c r="E21" s="32"/>
    </row>
    <row r="22" customFormat="false" ht="21.75" hidden="false" customHeight="true" outlineLevel="0" collapsed="false">
      <c r="C22" s="44" t="s">
        <v>71</v>
      </c>
      <c r="D22" s="31" t="n">
        <v>800</v>
      </c>
      <c r="E22" s="34"/>
    </row>
    <row r="23" customFormat="false" ht="21.75" hidden="false" customHeight="true" outlineLevel="0" collapsed="false">
      <c r="C23" s="43" t="s">
        <v>72</v>
      </c>
      <c r="D23" s="31" t="n">
        <v>400</v>
      </c>
      <c r="E23" s="32"/>
    </row>
    <row r="24" customFormat="false" ht="21.75" hidden="false" customHeight="true" outlineLevel="0" collapsed="false">
      <c r="C24" s="41" t="s">
        <v>73</v>
      </c>
      <c r="D24" s="42"/>
      <c r="E24" s="42"/>
    </row>
    <row r="25" customFormat="false" ht="21.75" hidden="false" customHeight="true" outlineLevel="0" collapsed="false">
      <c r="C25" s="43" t="s">
        <v>74</v>
      </c>
      <c r="D25" s="31" t="n">
        <v>400</v>
      </c>
      <c r="E25" s="32"/>
    </row>
    <row r="26" customFormat="false" ht="21.75" hidden="false" customHeight="true" outlineLevel="0" collapsed="false">
      <c r="C26" s="44" t="s">
        <v>75</v>
      </c>
      <c r="D26" s="31" t="n">
        <v>100</v>
      </c>
      <c r="E26" s="34"/>
    </row>
    <row r="27" customFormat="false" ht="21.75" hidden="false" customHeight="true" outlineLevel="0" collapsed="false">
      <c r="C27" s="43" t="s">
        <v>76</v>
      </c>
      <c r="D27" s="31" t="n">
        <v>200</v>
      </c>
      <c r="E27" s="32"/>
    </row>
    <row r="28" customFormat="false" ht="21.75" hidden="false" customHeight="true" outlineLevel="0" collapsed="false">
      <c r="C28" s="41" t="s">
        <v>77</v>
      </c>
      <c r="D28" s="42"/>
      <c r="E28" s="42"/>
    </row>
    <row r="29" customFormat="false" ht="21.75" hidden="false" customHeight="true" outlineLevel="0" collapsed="false">
      <c r="C29" s="43" t="s">
        <v>78</v>
      </c>
      <c r="D29" s="31" t="n">
        <v>0</v>
      </c>
      <c r="E29" s="32"/>
    </row>
    <row r="30" customFormat="false" ht="21.75" hidden="false" customHeight="true" outlineLevel="0" collapsed="false">
      <c r="C30" s="44" t="s">
        <v>79</v>
      </c>
      <c r="D30" s="31" t="n">
        <v>30</v>
      </c>
      <c r="E30" s="34"/>
    </row>
    <row r="31" customFormat="false" ht="21.75" hidden="false" customHeight="true" outlineLevel="0" collapsed="false">
      <c r="C31" s="43" t="s">
        <v>80</v>
      </c>
      <c r="D31" s="31" t="n">
        <v>0</v>
      </c>
      <c r="E31" s="32"/>
    </row>
    <row r="32" customFormat="false" ht="21.75" hidden="false" customHeight="true" outlineLevel="0" collapsed="false">
      <c r="C32" s="41" t="s">
        <v>81</v>
      </c>
      <c r="D32" s="42"/>
      <c r="E32" s="42"/>
    </row>
    <row r="33" customFormat="false" ht="21.75" hidden="false" customHeight="true" outlineLevel="0" collapsed="false">
      <c r="C33" s="43" t="s">
        <v>82</v>
      </c>
      <c r="D33" s="31" t="n">
        <v>0</v>
      </c>
      <c r="E33" s="32"/>
    </row>
    <row r="34" customFormat="false" ht="21.75" hidden="false" customHeight="true" outlineLevel="0" collapsed="false">
      <c r="C34" s="44" t="s">
        <v>83</v>
      </c>
      <c r="D34" s="31" t="n">
        <v>200</v>
      </c>
      <c r="E34" s="34"/>
    </row>
    <row r="36" customFormat="false" ht="27.75" hidden="false" customHeight="true" outlineLevel="0" collapsed="false">
      <c r="C36" s="35" t="s">
        <v>84</v>
      </c>
      <c r="D36" s="36" t="n">
        <f aca="false">SUM(D11:D34)</f>
        <v>10980</v>
      </c>
      <c r="E36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8" min="5" style="1" width="12"/>
  </cols>
  <sheetData>
    <row r="1" customFormat="false" ht="3.75" hidden="false" customHeight="true" outlineLevel="0" collapsed="false">
      <c r="A1" s="38"/>
      <c r="B1" s="38"/>
      <c r="C1" s="38"/>
      <c r="D1" s="38"/>
      <c r="E1" s="38"/>
      <c r="F1" s="38"/>
      <c r="G1" s="38"/>
      <c r="H1" s="38"/>
    </row>
    <row r="3" customFormat="false" ht="15" hidden="false" customHeight="true" outlineLevel="0" collapsed="false">
      <c r="C3" s="14" t="s">
        <v>14</v>
      </c>
    </row>
    <row r="4" customFormat="false" ht="31.5" hidden="false" customHeight="true" outlineLevel="0" collapsed="false">
      <c r="C4" s="8" t="s">
        <v>15</v>
      </c>
    </row>
    <row r="6" customFormat="false" ht="3.75" hidden="false" customHeight="true" outlineLevel="0" collapsed="false">
      <c r="C6" s="15"/>
      <c r="D6" s="15"/>
      <c r="E6" s="15"/>
      <c r="F6" s="15"/>
      <c r="G6" s="15"/>
      <c r="H6" s="15"/>
    </row>
    <row r="7" customFormat="false" ht="15" hidden="false" customHeight="true" outlineLevel="0" collapsed="false">
      <c r="C7" s="27" t="s">
        <v>85</v>
      </c>
    </row>
    <row r="10" customFormat="false" ht="15" hidden="false" customHeight="true" outlineLevel="0" collapsed="false">
      <c r="C10" s="45" t="s">
        <v>86</v>
      </c>
      <c r="E10" s="45" t="s">
        <v>87</v>
      </c>
      <c r="G10" s="45" t="s">
        <v>88</v>
      </c>
    </row>
    <row r="11" customFormat="false" ht="39.75" hidden="false" customHeight="true" outlineLevel="0" collapsed="false">
      <c r="C11" s="46" t="n">
        <f aca="false">Total_Revenus</f>
        <v>15000</v>
      </c>
      <c r="E11" s="46" t="n">
        <f aca="false">Total_Depenses</f>
        <v>10980</v>
      </c>
      <c r="G11" s="47" t="n">
        <f aca="false">Total_Revenus-Total_Depenses</f>
        <v>4020</v>
      </c>
    </row>
    <row r="13" customFormat="false" ht="15" hidden="false" customHeight="true" outlineLevel="0" collapsed="false">
      <c r="C13" s="7"/>
      <c r="E13" s="7"/>
      <c r="G13" s="7"/>
    </row>
    <row r="16" customFormat="false" ht="27.75" hidden="false" customHeight="true" outlineLevel="0" collapsed="false">
      <c r="C16" s="48" t="s">
        <v>89</v>
      </c>
    </row>
    <row r="18" customFormat="false" ht="24" hidden="false" customHeight="true" outlineLevel="0" collapsed="false">
      <c r="C18" s="49" t="s">
        <v>90</v>
      </c>
      <c r="D18" s="50" t="n">
        <f aca="false">IFERROR((Total_Revenus-Total_Depenses)/Total_Revenus,0)</f>
        <v>0.268</v>
      </c>
      <c r="E18" s="32" t="s">
        <v>91</v>
      </c>
      <c r="F18" s="32"/>
      <c r="G18" s="32"/>
      <c r="H18" s="32"/>
    </row>
    <row r="19" customFormat="false" ht="24" hidden="false" customHeight="true" outlineLevel="0" collapsed="false">
      <c r="C19" s="51" t="s">
        <v>92</v>
      </c>
      <c r="D19" s="52" t="n">
        <f aca="false">Total_Depenses*3</f>
        <v>32940</v>
      </c>
      <c r="E19" s="34" t="s">
        <v>93</v>
      </c>
      <c r="F19" s="34"/>
      <c r="G19" s="34"/>
      <c r="H19" s="34"/>
    </row>
    <row r="20" customFormat="false" ht="24" hidden="false" customHeight="true" outlineLevel="0" collapsed="false">
      <c r="C20" s="49" t="s">
        <v>94</v>
      </c>
      <c r="D20" s="53" t="n">
        <f aca="false">Total_Depenses*6</f>
        <v>65880</v>
      </c>
      <c r="E20" s="32" t="s">
        <v>95</v>
      </c>
      <c r="F20" s="32"/>
      <c r="G20" s="32"/>
      <c r="H20" s="32"/>
    </row>
    <row r="24" customFormat="false" ht="27.75" hidden="false" customHeight="true" outlineLevel="0" collapsed="false">
      <c r="C24" s="48" t="s">
        <v>96</v>
      </c>
    </row>
    <row r="26" customFormat="false" ht="15" hidden="false" customHeight="true" outlineLevel="0" collapsed="false">
      <c r="C26" s="33" t="s">
        <v>97</v>
      </c>
      <c r="D26" s="31" t="n">
        <v>25000</v>
      </c>
    </row>
    <row r="27" customFormat="false" ht="15" hidden="false" customHeight="true" outlineLevel="0" collapsed="false">
      <c r="C27" s="30" t="s">
        <v>98</v>
      </c>
      <c r="D27" s="50" t="n">
        <f aca="false">IFERROR(D26/D19,0)</f>
        <v>0.758955676988464</v>
      </c>
    </row>
    <row r="28" customFormat="false" ht="15" hidden="false" customHeight="true" outlineLevel="0" collapsed="false">
      <c r="C28" s="33" t="s">
        <v>99</v>
      </c>
      <c r="D28" s="54" t="n">
        <f aca="false">IF(D30&lt;=0,"—",IFERROR(ROUNDUP((D19-D26)/D30,0),"—"))</f>
        <v>2</v>
      </c>
    </row>
    <row r="29" customFormat="false" ht="15" hidden="false" customHeight="true" outlineLevel="0" collapsed="false">
      <c r="C29" s="30" t="s">
        <v>100</v>
      </c>
    </row>
    <row r="30" customFormat="false" ht="15" hidden="false" customHeight="true" outlineLevel="0" collapsed="false">
      <c r="C30" s="55" t="s">
        <v>101</v>
      </c>
      <c r="D30" s="56" t="n">
        <f aca="false">Total_Revenus-Total_Depenses</f>
        <v>4020</v>
      </c>
    </row>
    <row r="33" customFormat="false" ht="27.75" hidden="false" customHeight="true" outlineLevel="0" collapsed="false">
      <c r="C33" s="48" t="s">
        <v>102</v>
      </c>
    </row>
    <row r="35" customFormat="false" ht="21.75" hidden="false" customHeight="true" outlineLevel="0" collapsed="false">
      <c r="C35" s="57" t="s">
        <v>103</v>
      </c>
      <c r="D35" s="49" t="s">
        <v>104</v>
      </c>
      <c r="E35" s="58" t="s">
        <v>105</v>
      </c>
      <c r="F35" s="58"/>
      <c r="G35" s="58"/>
      <c r="H35" s="58"/>
    </row>
    <row r="36" customFormat="false" ht="21.75" hidden="false" customHeight="true" outlineLevel="0" collapsed="false">
      <c r="C36" s="59" t="s">
        <v>106</v>
      </c>
      <c r="D36" s="51" t="s">
        <v>107</v>
      </c>
      <c r="E36" s="60" t="s">
        <v>108</v>
      </c>
      <c r="F36" s="60"/>
      <c r="G36" s="60"/>
      <c r="H36" s="60"/>
    </row>
    <row r="37" customFormat="false" ht="21.75" hidden="false" customHeight="true" outlineLevel="0" collapsed="false">
      <c r="C37" s="57" t="s">
        <v>109</v>
      </c>
      <c r="D37" s="49" t="s">
        <v>110</v>
      </c>
      <c r="E37" s="58" t="s">
        <v>111</v>
      </c>
      <c r="F37" s="58"/>
      <c r="G37" s="58"/>
      <c r="H37" s="58"/>
    </row>
    <row r="38" customFormat="false" ht="21.75" hidden="false" customHeight="true" outlineLevel="0" collapsed="false">
      <c r="C38" s="59" t="s">
        <v>112</v>
      </c>
      <c r="D38" s="51" t="s">
        <v>113</v>
      </c>
      <c r="E38" s="60" t="s">
        <v>114</v>
      </c>
      <c r="F38" s="60"/>
      <c r="G38" s="60"/>
      <c r="H38" s="60"/>
    </row>
  </sheetData>
  <mergeCells count="7">
    <mergeCell ref="E18:H18"/>
    <mergeCell ref="E19:H19"/>
    <mergeCell ref="E20:H20"/>
    <mergeCell ref="E35:H35"/>
    <mergeCell ref="E36:H36"/>
    <mergeCell ref="E37:H37"/>
    <mergeCell ref="E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14" min="3" style="1" width="10"/>
    <col collapsed="false" customWidth="true" hidden="false" outlineLevel="0" max="15" min="15" style="1" width="13"/>
  </cols>
  <sheetData>
    <row r="1" customFormat="false" ht="3.75" hidden="false" customHeight="true" outlineLevel="0" collapsed="false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3" customFormat="false" ht="15" hidden="false" customHeight="true" outlineLevel="0" collapsed="false">
      <c r="B3" s="14" t="s">
        <v>17</v>
      </c>
    </row>
    <row r="4" customFormat="false" ht="31.5" hidden="false" customHeight="true" outlineLevel="0" collapsed="false">
      <c r="B4" s="8" t="s">
        <v>18</v>
      </c>
    </row>
    <row r="6" customFormat="false" ht="3.75" hidden="false" customHeight="true" outlineLevel="0" collapsed="false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customFormat="false" ht="15" hidden="false" customHeight="true" outlineLevel="0" collapsed="false">
      <c r="B7" s="27" t="s">
        <v>115</v>
      </c>
    </row>
    <row r="9" customFormat="false" ht="25.5" hidden="false" customHeight="true" outlineLevel="0" collapsed="false">
      <c r="B9" s="61" t="s">
        <v>116</v>
      </c>
      <c r="C9" s="62" t="s">
        <v>117</v>
      </c>
      <c r="D9" s="62" t="s">
        <v>118</v>
      </c>
      <c r="E9" s="62" t="s">
        <v>119</v>
      </c>
      <c r="F9" s="62" t="s">
        <v>120</v>
      </c>
      <c r="G9" s="62" t="s">
        <v>121</v>
      </c>
      <c r="H9" s="62" t="s">
        <v>122</v>
      </c>
      <c r="I9" s="62" t="s">
        <v>123</v>
      </c>
      <c r="J9" s="62" t="s">
        <v>124</v>
      </c>
      <c r="K9" s="62" t="s">
        <v>125</v>
      </c>
      <c r="L9" s="62" t="s">
        <v>126</v>
      </c>
      <c r="M9" s="62" t="s">
        <v>127</v>
      </c>
      <c r="N9" s="62" t="s">
        <v>128</v>
      </c>
      <c r="O9" s="62" t="s">
        <v>129</v>
      </c>
    </row>
    <row r="10" customFormat="false" ht="21.75" hidden="false" customHeight="true" outlineLevel="0" collapsed="false">
      <c r="B10" s="51" t="s">
        <v>9</v>
      </c>
      <c r="C10" s="31" t="n">
        <v>10000</v>
      </c>
      <c r="D10" s="31" t="n">
        <v>10000</v>
      </c>
      <c r="E10" s="31" t="n">
        <v>10000</v>
      </c>
      <c r="F10" s="31" t="n">
        <v>10000</v>
      </c>
      <c r="G10" s="31" t="n">
        <v>10000</v>
      </c>
      <c r="H10" s="31" t="n">
        <v>10000</v>
      </c>
      <c r="I10" s="31" t="n">
        <v>10000</v>
      </c>
      <c r="J10" s="31" t="n">
        <v>10000</v>
      </c>
      <c r="K10" s="31" t="n">
        <v>10000</v>
      </c>
      <c r="L10" s="31" t="n">
        <v>10000</v>
      </c>
      <c r="M10" s="31" t="n">
        <v>10000</v>
      </c>
      <c r="N10" s="31" t="n">
        <v>10000</v>
      </c>
      <c r="O10" s="63" t="n">
        <f aca="false">SUM(C10:N10)</f>
        <v>120000</v>
      </c>
    </row>
    <row r="11" customFormat="false" ht="21.75" hidden="false" customHeight="true" outlineLevel="0" collapsed="false">
      <c r="B11" s="51" t="s">
        <v>12</v>
      </c>
      <c r="C11" s="31" t="n">
        <v>9200</v>
      </c>
      <c r="D11" s="31" t="n">
        <v>9500</v>
      </c>
      <c r="E11" s="31" t="n">
        <v>9300</v>
      </c>
      <c r="F11" s="31" t="n">
        <v>9800</v>
      </c>
      <c r="G11" s="31" t="n">
        <v>10000</v>
      </c>
      <c r="H11" s="31" t="n">
        <v>9200</v>
      </c>
      <c r="I11" s="31" t="n">
        <v>9400</v>
      </c>
      <c r="J11" s="31" t="n">
        <v>10100</v>
      </c>
      <c r="K11" s="31" t="n">
        <v>9600</v>
      </c>
      <c r="L11" s="31" t="n">
        <v>9200</v>
      </c>
      <c r="M11" s="31" t="n">
        <v>9300</v>
      </c>
      <c r="N11" s="31" t="n">
        <v>10500</v>
      </c>
      <c r="O11" s="63" t="n">
        <f aca="false">SUM(C11:N11)</f>
        <v>115100</v>
      </c>
    </row>
    <row r="12" customFormat="false" ht="24" hidden="false" customHeight="true" outlineLevel="0" collapsed="false">
      <c r="B12" s="64" t="s">
        <v>130</v>
      </c>
      <c r="C12" s="65" t="n">
        <f aca="false">C10-C11</f>
        <v>800</v>
      </c>
      <c r="D12" s="65" t="n">
        <f aca="false">D10-D11</f>
        <v>500</v>
      </c>
      <c r="E12" s="65" t="n">
        <f aca="false">E10-E11</f>
        <v>700</v>
      </c>
      <c r="F12" s="65" t="n">
        <f aca="false">F10-F11</f>
        <v>200</v>
      </c>
      <c r="G12" s="65" t="n">
        <f aca="false">G10-G11</f>
        <v>0</v>
      </c>
      <c r="H12" s="65" t="n">
        <f aca="false">H10-H11</f>
        <v>800</v>
      </c>
      <c r="I12" s="65" t="n">
        <f aca="false">I10-I11</f>
        <v>600</v>
      </c>
      <c r="J12" s="65" t="n">
        <f aca="false">J10-J11</f>
        <v>-100</v>
      </c>
      <c r="K12" s="65" t="n">
        <f aca="false">K10-K11</f>
        <v>400</v>
      </c>
      <c r="L12" s="65" t="n">
        <f aca="false">L10-L11</f>
        <v>800</v>
      </c>
      <c r="M12" s="65" t="n">
        <f aca="false">M10-M11</f>
        <v>700</v>
      </c>
      <c r="N12" s="65" t="n">
        <f aca="false">N10-N11</f>
        <v>-500</v>
      </c>
      <c r="O12" s="66" t="n">
        <f aca="false">SUM(C12:N12)</f>
        <v>4900</v>
      </c>
    </row>
    <row r="13" customFormat="false" ht="21.75" hidden="false" customHeight="true" outlineLevel="0" collapsed="false">
      <c r="B13" s="67" t="s">
        <v>90</v>
      </c>
      <c r="C13" s="68" t="n">
        <f aca="false">IFERROR(C12/C10,0)</f>
        <v>0.08</v>
      </c>
      <c r="D13" s="68" t="n">
        <f aca="false">IFERROR(D12/D10,0)</f>
        <v>0.05</v>
      </c>
      <c r="E13" s="68" t="n">
        <f aca="false">IFERROR(E12/E10,0)</f>
        <v>0.07</v>
      </c>
      <c r="F13" s="68" t="n">
        <f aca="false">IFERROR(F12/F10,0)</f>
        <v>0.02</v>
      </c>
      <c r="G13" s="68" t="n">
        <f aca="false">IFERROR(G12/G10,0)</f>
        <v>0</v>
      </c>
      <c r="H13" s="68" t="n">
        <f aca="false">IFERROR(H12/H10,0)</f>
        <v>0.08</v>
      </c>
      <c r="I13" s="68" t="n">
        <f aca="false">IFERROR(I12/I10,0)</f>
        <v>0.06</v>
      </c>
      <c r="J13" s="68" t="n">
        <f aca="false">IFERROR(J12/J10,0)</f>
        <v>-0.01</v>
      </c>
      <c r="K13" s="68" t="n">
        <f aca="false">IFERROR(K12/K10,0)</f>
        <v>0.04</v>
      </c>
      <c r="L13" s="68" t="n">
        <f aca="false">IFERROR(L12/L10,0)</f>
        <v>0.08</v>
      </c>
      <c r="M13" s="68" t="n">
        <f aca="false">IFERROR(M12/M10,0)</f>
        <v>0.07</v>
      </c>
      <c r="N13" s="68" t="n">
        <f aca="false">IFERROR(N12/N10,0)</f>
        <v>-0.05</v>
      </c>
      <c r="O13" s="69" t="n">
        <f aca="false">IFERROR(O12/O10,0)</f>
        <v>0.0408333333333333</v>
      </c>
    </row>
    <row r="16" customFormat="false" ht="30" hidden="false" customHeight="true" outlineLevel="0" collapsed="false">
      <c r="B16" s="70" t="s">
        <v>131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</sheetData>
  <mergeCells count="1">
    <mergeCell ref="B16:O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2026-09-22T12:03:45Z</dcterms:created>
  <dc:creator>openpyxl</dc:creator>
  <dc:description/>
  <dc:language>en-US</dc:language>
  <cp:lastModifiedBy/>
  <dcterms:modified xsi:type="dcterms:W3CDTF">2026-09-22T12:05:59Z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